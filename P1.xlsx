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610383B4-0D3E-4CA0-B979-DA464420390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4" r:id="rId2"/>
    <sheet name="Sheet3" sheetId="5" r:id="rId3"/>
  </sheets>
  <calcPr calcId="191029"/>
  <pivotCaches>
    <pivotCache cacheId="0" r:id="rId4"/>
    <pivotCache cacheId="19" r:id="rId5"/>
  </pivotCaches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2" i="5"/>
  <c r="I2" i="5" s="1"/>
  <c r="L17" i="5"/>
  <c r="I3" i="5"/>
  <c r="L14" i="5" s="1"/>
  <c r="I4" i="5"/>
  <c r="L16" i="5" s="1"/>
  <c r="I5" i="5"/>
  <c r="I6" i="5"/>
  <c r="I7" i="5"/>
  <c r="I8" i="5"/>
  <c r="H4" i="1"/>
  <c r="H3" i="1"/>
  <c r="I9" i="5" l="1"/>
  <c r="L15" i="5"/>
  <c r="B14" i="1"/>
  <c r="B12" i="1"/>
  <c r="I3" i="1"/>
  <c r="I4" i="1"/>
  <c r="B15" i="1" s="1"/>
  <c r="I7" i="1"/>
  <c r="B17" i="1" s="1"/>
  <c r="H5" i="1"/>
  <c r="I5" i="1" s="1"/>
  <c r="H6" i="1"/>
  <c r="I6" i="1" s="1"/>
  <c r="H7" i="1"/>
  <c r="H8" i="1"/>
  <c r="I8" i="1" s="1"/>
  <c r="B16" i="1" s="1"/>
  <c r="H2" i="1"/>
  <c r="I2" i="1" s="1"/>
  <c r="B13" i="1" l="1"/>
  <c r="I9" i="1"/>
</calcChain>
</file>

<file path=xl/sharedStrings.xml><?xml version="1.0" encoding="utf-8"?>
<sst xmlns="http://schemas.openxmlformats.org/spreadsheetml/2006/main" count="96" uniqueCount="29">
  <si>
    <t>NAME</t>
  </si>
  <si>
    <t>GENDER</t>
  </si>
  <si>
    <t>AGE</t>
  </si>
  <si>
    <t>CLASS</t>
  </si>
  <si>
    <t>U1</t>
  </si>
  <si>
    <t>U2</t>
  </si>
  <si>
    <t>FINAL</t>
  </si>
  <si>
    <t>Shraddha</t>
  </si>
  <si>
    <t>Ram</t>
  </si>
  <si>
    <t>Sham</t>
  </si>
  <si>
    <t>Riya</t>
  </si>
  <si>
    <t>Siya</t>
  </si>
  <si>
    <t>Vijay</t>
  </si>
  <si>
    <t>Ajay</t>
  </si>
  <si>
    <t>F</t>
  </si>
  <si>
    <t>M</t>
  </si>
  <si>
    <t>TOTAL</t>
  </si>
  <si>
    <t>TY</t>
  </si>
  <si>
    <t>FY</t>
  </si>
  <si>
    <t>SY</t>
  </si>
  <si>
    <t>Row Labels</t>
  </si>
  <si>
    <t>Grand Total</t>
  </si>
  <si>
    <t>Sum of TOTAL</t>
  </si>
  <si>
    <t>PERCENTAGE</t>
  </si>
  <si>
    <t xml:space="preserve">Highest Score = </t>
  </si>
  <si>
    <t>VLOOKUP</t>
  </si>
  <si>
    <t xml:space="preserve"> </t>
  </si>
  <si>
    <t>Sum of PERCENTAGE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</si>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</sst>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NumberFormat="1"/>
    <xf numFmtId="0" fontId="0" fillId="0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Down"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49ED33"/>
        </patternFill>
      </fill>
    </dxf>
  </dxfs>
  <tableStyles count="0" defaultTableStyle="TableStyleMedium2" defaultPivotStyle="PivotStyleMedium9"/>
  <colors>
    <mruColors>
      <color rgb="FF49ED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47.607476041667" createdVersion="4" refreshedVersion="4" minRefreshableVersion="3" recordCount="7" xr:uid="{00000000-000A-0000-FFFF-FFFF03000000}">
  <cacheSource type="worksheet">
    <worksheetSource ref="A1:H8" sheet="Sheet1"/>
  </cacheSource>
  <cacheFields count="8">
    <cacheField name="NAME" numFmtId="0">
      <sharedItems count="7">
        <s v="Shraddha"/>
        <s v="Ram"/>
        <s v="Sham"/>
        <s v="Riya"/>
        <s v="Siya"/>
        <s v="Vijay"/>
        <s v="Ajay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20" maxValue="45"/>
    </cacheField>
    <cacheField name="CLASS" numFmtId="0">
      <sharedItems count="3">
        <s v="SY"/>
        <s v="FY"/>
        <s v="TY"/>
      </sharedItems>
    </cacheField>
    <cacheField name="U1" numFmtId="0">
      <sharedItems containsSemiMixedTypes="0" containsString="0" containsNumber="1" containsInteger="1" minValue="68" maxValue="98"/>
    </cacheField>
    <cacheField name="U2" numFmtId="0">
      <sharedItems containsSemiMixedTypes="0" containsString="0" containsNumber="1" containsInteger="1" minValue="54" maxValue="95"/>
    </cacheField>
    <cacheField name="FINAL" numFmtId="0">
      <sharedItems containsSemiMixedTypes="0" containsString="0" containsNumber="1" containsInteger="1" minValue="71" maxValue="96"/>
    </cacheField>
    <cacheField name="TOTAL" numFmtId="0">
      <sharedItems containsSemiMixedTypes="0" containsString="0" containsNumber="1" containsInteger="1" minValue="193" maxValue="2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65.869015856479" createdVersion="8" refreshedVersion="8" minRefreshableVersion="3" recordCount="7" xr:uid="{789D6E1F-1091-4111-BD12-FA857DCD0009}">
  <cacheSource type="worksheet">
    <worksheetSource ref="A1:I8" sheet="Sheet3"/>
  </cacheSource>
  <cacheFields count="9">
    <cacheField name="NAME" numFmtId="0">
      <sharedItems count="7">
        <s v="Shraddha"/>
        <s v="Ram"/>
        <s v="Sham"/>
        <s v="Riya"/>
        <s v="Siya"/>
        <s v="Vijay"/>
        <s v="Ajay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20" maxValue="45"/>
    </cacheField>
    <cacheField name="CLASS" numFmtId="0">
      <sharedItems/>
    </cacheField>
    <cacheField name="U1" numFmtId="0">
      <sharedItems containsSemiMixedTypes="0" containsString="0" containsNumber="1" containsInteger="1" minValue="68" maxValue="98"/>
    </cacheField>
    <cacheField name="U2" numFmtId="0">
      <sharedItems containsSemiMixedTypes="0" containsString="0" containsNumber="1" containsInteger="1" minValue="61" maxValue="95"/>
    </cacheField>
    <cacheField name="FINAL" numFmtId="0">
      <sharedItems containsSemiMixedTypes="0" containsString="0" containsNumber="1" containsInteger="1" minValue="71" maxValue="96"/>
    </cacheField>
    <cacheField name="TOTAL" numFmtId="0">
      <sharedItems containsSemiMixedTypes="0" containsString="0" containsNumber="1" containsInteger="1" minValue="200" maxValue="289"/>
    </cacheField>
    <cacheField name="PERCENTAGE" numFmtId="2">
      <sharedItems containsSemiMixedTypes="0" containsString="0" containsNumber="1" minValue="66.666666666666657" maxValue="96.3333333333333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s v="F"/>
    <n v="35"/>
    <x v="0"/>
    <n v="98"/>
    <n v="95"/>
    <n v="96"/>
    <n v="289"/>
  </r>
  <r>
    <x v="1"/>
    <s v="M"/>
    <n v="30"/>
    <x v="0"/>
    <n v="70"/>
    <n v="80"/>
    <n v="85"/>
    <n v="235"/>
  </r>
  <r>
    <x v="2"/>
    <s v="M"/>
    <n v="32"/>
    <x v="0"/>
    <n v="82"/>
    <n v="65"/>
    <n v="74"/>
    <n v="221"/>
  </r>
  <r>
    <x v="3"/>
    <s v="F"/>
    <n v="20"/>
    <x v="1"/>
    <n v="68"/>
    <n v="54"/>
    <n v="71"/>
    <n v="193"/>
  </r>
  <r>
    <x v="4"/>
    <s v="F"/>
    <n v="25"/>
    <x v="1"/>
    <n v="84"/>
    <n v="67"/>
    <n v="73"/>
    <n v="224"/>
  </r>
  <r>
    <x v="5"/>
    <s v="M"/>
    <n v="40"/>
    <x v="2"/>
    <n v="82"/>
    <n v="89"/>
    <n v="86"/>
    <n v="257"/>
  </r>
  <r>
    <x v="6"/>
    <s v="M"/>
    <n v="45"/>
    <x v="2"/>
    <n v="94"/>
    <n v="91"/>
    <n v="90"/>
    <n v="2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s v="F"/>
    <n v="35"/>
    <s v="SY"/>
    <n v="98"/>
    <n v="95"/>
    <n v="96"/>
    <n v="289"/>
    <n v="96.333333333333343"/>
  </r>
  <r>
    <x v="1"/>
    <s v="M"/>
    <n v="30"/>
    <s v="SY"/>
    <n v="70"/>
    <n v="80"/>
    <n v="85"/>
    <n v="235"/>
    <n v="78.333333333333329"/>
  </r>
  <r>
    <x v="2"/>
    <s v="M"/>
    <n v="32"/>
    <s v="SY"/>
    <n v="82"/>
    <n v="65"/>
    <n v="74"/>
    <n v="221"/>
    <n v="73.666666666666671"/>
  </r>
  <r>
    <x v="3"/>
    <s v="F"/>
    <n v="20"/>
    <s v="FY"/>
    <n v="68"/>
    <n v="61"/>
    <n v="71"/>
    <n v="200"/>
    <n v="66.666666666666657"/>
  </r>
  <r>
    <x v="4"/>
    <s v="F"/>
    <n v="25"/>
    <s v="FY"/>
    <n v="84"/>
    <n v="67"/>
    <n v="73"/>
    <n v="224"/>
    <n v="74.666666666666671"/>
  </r>
  <r>
    <x v="5"/>
    <s v="M"/>
    <n v="40"/>
    <s v="TY"/>
    <n v="82"/>
    <n v="89"/>
    <n v="86"/>
    <n v="257"/>
    <n v="85.666666666666671"/>
  </r>
  <r>
    <x v="6"/>
    <s v="M"/>
    <n v="45"/>
    <s v="TY"/>
    <n v="94"/>
    <n v="91"/>
    <n v="90"/>
    <n v="275"/>
    <n v="91.6666666666666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1" firstHeaderRow="1" firstDataRow="1" firstDataCol="1"/>
  <pivotFields count="8">
    <pivotField axis="axisRow" showAll="0">
      <items count="8">
        <item x="6"/>
        <item x="1"/>
        <item x="3"/>
        <item x="2"/>
        <item x="0"/>
        <item x="4"/>
        <item x="5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4547A-45D6-4782-9B74-D1D9C48B3335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ame">
  <location ref="A13:C21" firstHeaderRow="0" firstDataRow="1" firstDataCol="1"/>
  <pivotFields count="9">
    <pivotField axis="axisRow" showAll="0">
      <items count="8">
        <item x="6"/>
        <item x="1"/>
        <item x="3"/>
        <item x="2"/>
        <item x="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numFmtId="2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7" baseField="0" baseItem="0"/>
    <dataField name="Sum of PERCENTAGE" fld="8" baseField="0" baseItem="0" numFmtId="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zoomScaleNormal="100" workbookViewId="0">
      <selection activeCell="I2" sqref="I2"/>
    </sheetView>
  </sheetViews>
  <sheetFormatPr defaultRowHeight="14.4" x14ac:dyDescent="0.3"/>
  <cols>
    <col min="1" max="1" width="9.33203125" bestFit="1" customWidth="1"/>
    <col min="2" max="2" width="12.5546875" bestFit="1" customWidth="1"/>
    <col min="3" max="3" width="4.5546875" bestFit="1" customWidth="1"/>
    <col min="4" max="4" width="6.33203125" bestFit="1" customWidth="1"/>
    <col min="5" max="5" width="5.88671875" customWidth="1"/>
    <col min="6" max="6" width="4.88671875" customWidth="1"/>
    <col min="7" max="7" width="7" customWidth="1"/>
    <col min="8" max="8" width="15" bestFit="1" customWidth="1"/>
    <col min="9" max="9" width="12.44140625" bestFit="1" customWidth="1"/>
    <col min="11" max="11" width="13.33203125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16</v>
      </c>
      <c r="I1" s="4" t="s">
        <v>23</v>
      </c>
    </row>
    <row r="2" spans="1:9" x14ac:dyDescent="0.3">
      <c r="A2" s="4" t="s">
        <v>7</v>
      </c>
      <c r="B2" s="4" t="s">
        <v>14</v>
      </c>
      <c r="C2" s="4">
        <v>35</v>
      </c>
      <c r="D2" s="4" t="s">
        <v>19</v>
      </c>
      <c r="E2" s="4">
        <v>98</v>
      </c>
      <c r="F2" s="4">
        <v>91.000000000000085</v>
      </c>
      <c r="G2" s="4">
        <v>96</v>
      </c>
      <c r="H2" s="4">
        <f>SUM(E2:G2)</f>
        <v>285.00000000000011</v>
      </c>
      <c r="I2" s="5">
        <f>(H2/300)*100</f>
        <v>95.000000000000043</v>
      </c>
    </row>
    <row r="3" spans="1:9" x14ac:dyDescent="0.3">
      <c r="A3" s="4" t="s">
        <v>8</v>
      </c>
      <c r="B3" s="4" t="s">
        <v>15</v>
      </c>
      <c r="C3" s="4">
        <v>30</v>
      </c>
      <c r="D3" s="4" t="s">
        <v>19</v>
      </c>
      <c r="E3" s="4">
        <v>70</v>
      </c>
      <c r="F3" s="4">
        <v>80</v>
      </c>
      <c r="G3" s="4">
        <v>85</v>
      </c>
      <c r="H3" s="4">
        <f>SUM(E3:G3)</f>
        <v>235</v>
      </c>
      <c r="I3" s="5">
        <f t="shared" ref="I3:I8" si="0">(H3/300)*100</f>
        <v>78.333333333333329</v>
      </c>
    </row>
    <row r="4" spans="1:9" x14ac:dyDescent="0.3">
      <c r="A4" s="4" t="s">
        <v>9</v>
      </c>
      <c r="B4" s="4" t="s">
        <v>15</v>
      </c>
      <c r="C4" s="4">
        <v>32</v>
      </c>
      <c r="D4" s="4" t="s">
        <v>19</v>
      </c>
      <c r="E4" s="4">
        <v>82</v>
      </c>
      <c r="F4" s="4">
        <v>65</v>
      </c>
      <c r="G4" s="4">
        <v>74</v>
      </c>
      <c r="H4" s="4">
        <f>SUM(E4:G4)</f>
        <v>221</v>
      </c>
      <c r="I4" s="5">
        <f t="shared" si="0"/>
        <v>73.666666666666671</v>
      </c>
    </row>
    <row r="5" spans="1:9" x14ac:dyDescent="0.3">
      <c r="A5" s="4" t="s">
        <v>10</v>
      </c>
      <c r="B5" s="4" t="s">
        <v>14</v>
      </c>
      <c r="C5" s="4">
        <v>20</v>
      </c>
      <c r="D5" s="4" t="s">
        <v>18</v>
      </c>
      <c r="E5" s="4">
        <v>68</v>
      </c>
      <c r="F5" s="4">
        <v>61</v>
      </c>
      <c r="G5" s="4">
        <v>71</v>
      </c>
      <c r="H5" s="4">
        <f t="shared" ref="H5:H8" si="1">SUM(E5:G5)</f>
        <v>200</v>
      </c>
      <c r="I5" s="5">
        <f t="shared" si="0"/>
        <v>66.666666666666657</v>
      </c>
    </row>
    <row r="6" spans="1:9" x14ac:dyDescent="0.3">
      <c r="A6" s="4" t="s">
        <v>11</v>
      </c>
      <c r="B6" s="4" t="s">
        <v>14</v>
      </c>
      <c r="C6" s="4">
        <v>25</v>
      </c>
      <c r="D6" s="4" t="s">
        <v>18</v>
      </c>
      <c r="E6" s="4">
        <v>84</v>
      </c>
      <c r="F6" s="4">
        <v>67</v>
      </c>
      <c r="G6" s="4">
        <v>73</v>
      </c>
      <c r="H6" s="4">
        <f t="shared" si="1"/>
        <v>224</v>
      </c>
      <c r="I6" s="5">
        <f t="shared" si="0"/>
        <v>74.666666666666671</v>
      </c>
    </row>
    <row r="7" spans="1:9" x14ac:dyDescent="0.3">
      <c r="A7" s="4" t="s">
        <v>12</v>
      </c>
      <c r="B7" s="4" t="s">
        <v>15</v>
      </c>
      <c r="C7" s="4">
        <v>40</v>
      </c>
      <c r="D7" s="4" t="s">
        <v>17</v>
      </c>
      <c r="E7" s="4">
        <v>82</v>
      </c>
      <c r="F7" s="4">
        <v>89</v>
      </c>
      <c r="G7" s="4">
        <v>86</v>
      </c>
      <c r="H7" s="4">
        <f t="shared" si="1"/>
        <v>257</v>
      </c>
      <c r="I7" s="5">
        <f t="shared" si="0"/>
        <v>85.666666666666671</v>
      </c>
    </row>
    <row r="8" spans="1:9" x14ac:dyDescent="0.3">
      <c r="A8" s="4" t="s">
        <v>13</v>
      </c>
      <c r="B8" s="4" t="s">
        <v>15</v>
      </c>
      <c r="C8" s="4">
        <v>45</v>
      </c>
      <c r="D8" s="4" t="s">
        <v>17</v>
      </c>
      <c r="E8" s="4">
        <v>94</v>
      </c>
      <c r="F8" s="4">
        <v>91</v>
      </c>
      <c r="G8" s="4">
        <v>90</v>
      </c>
      <c r="H8" s="4">
        <f t="shared" si="1"/>
        <v>275</v>
      </c>
      <c r="I8" s="5">
        <f t="shared" si="0"/>
        <v>91.666666666666657</v>
      </c>
    </row>
    <row r="9" spans="1:9" x14ac:dyDescent="0.3">
      <c r="H9" t="s">
        <v>24</v>
      </c>
      <c r="I9" s="3">
        <f>MAX(I2:I8)</f>
        <v>95.000000000000043</v>
      </c>
    </row>
    <row r="11" spans="1:9" x14ac:dyDescent="0.3">
      <c r="A11" s="6" t="s">
        <v>25</v>
      </c>
      <c r="B11" s="6"/>
    </row>
    <row r="12" spans="1:9" x14ac:dyDescent="0.3">
      <c r="A12" t="s">
        <v>9</v>
      </c>
      <c r="B12" s="3">
        <f>VLOOKUP(A12,$A$2:$I$8,9,FALSE)</f>
        <v>73.666666666666671</v>
      </c>
    </row>
    <row r="13" spans="1:9" x14ac:dyDescent="0.3">
      <c r="A13" t="s">
        <v>10</v>
      </c>
      <c r="B13" s="3">
        <f t="shared" ref="B13:B17" si="2">VLOOKUP(A13,$A$2:$I$8,9,FALSE)</f>
        <v>66.666666666666657</v>
      </c>
      <c r="E13" t="s">
        <v>26</v>
      </c>
    </row>
    <row r="14" spans="1:9" x14ac:dyDescent="0.3">
      <c r="A14" t="s">
        <v>8</v>
      </c>
      <c r="B14" s="3">
        <f t="shared" si="2"/>
        <v>78.333333333333329</v>
      </c>
    </row>
    <row r="15" spans="1:9" x14ac:dyDescent="0.3">
      <c r="A15" t="s">
        <v>9</v>
      </c>
      <c r="B15" s="3">
        <f t="shared" si="2"/>
        <v>73.666666666666671</v>
      </c>
    </row>
    <row r="16" spans="1:9" x14ac:dyDescent="0.3">
      <c r="A16" t="s">
        <v>13</v>
      </c>
      <c r="B16" s="3">
        <f t="shared" si="2"/>
        <v>91.666666666666657</v>
      </c>
    </row>
    <row r="17" spans="1:2" x14ac:dyDescent="0.3">
      <c r="A17" t="s">
        <v>12</v>
      </c>
      <c r="B17" s="3">
        <f t="shared" si="2"/>
        <v>85.666666666666671</v>
      </c>
    </row>
  </sheetData>
  <mergeCells count="1">
    <mergeCell ref="A11:B11"/>
  </mergeCells>
  <conditionalFormatting sqref="E2:G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{848239E7-FC8D-406A-9A17-CB81EC73EFD4}</x14:id>
        </ext>
      </extLst>
    </cfRule>
  </conditionalFormatting>
  <conditionalFormatting sqref="E3:G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{26E0B46D-CCE8-4395-9910-44EF2F1D9929}</x14:id>
        </ext>
      </extLst>
    </cfRule>
  </conditionalFormatting>
  <conditionalFormatting sqref="I2:I8">
    <cfRule type="cellIs" dxfId="6" priority="1" operator="lessThan">
      <formula>70</formula>
    </cfRule>
    <cfRule type="cellIs" dxfId="5" priority="2" operator="lessThan">
      <formula>70</formula>
    </cfRule>
    <cfRule type="cellIs" dxfId="4" priority="3" operator="between">
      <formula>70</formula>
      <formula>85</formula>
    </cfRule>
    <cfRule type="cellIs" dxfId="3" priority="4" operator="greaterThan">
      <formula>85</formula>
    </cfRule>
    <cfRule type="cellIs" dxfId="2" priority="5" operator="between">
      <formula>70</formula>
      <formula>80</formula>
    </cfRule>
    <cfRule type="cellIs" dxfId="1" priority="6" operator="lessThan">
      <formula>70</formula>
    </cfRule>
    <cfRule type="cellIs" dxfId="0" priority="7" operator="greaterThan">
      <formula>90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239E7-FC8D-406A-9A17-CB81EC73EF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E2:G2</xm:sqref>
        </x14:conditionalFormatting>
        <x14:conditionalFormatting xmlns:xm="http://schemas.microsoft.com/office/excel/2006/main">
          <x14:cfRule type="dataBar" id="{26E0B46D-CCE8-4395-9910-44EF2F1D9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E3:G8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1"/>
  <sheetViews>
    <sheetView workbookViewId="0">
      <selection activeCell="B9" sqref="B9"/>
    </sheetView>
  </sheetViews>
  <sheetFormatPr defaultRowHeight="14.4" x14ac:dyDescent="0.3"/>
  <cols>
    <col min="1" max="1" width="13.109375" bestFit="1" customWidth="1"/>
    <col min="2" max="3" width="13.33203125" customWidth="1"/>
  </cols>
  <sheetData>
    <row r="3" spans="1:2" x14ac:dyDescent="0.3">
      <c r="A3" s="1" t="s">
        <v>20</v>
      </c>
      <c r="B3" t="s">
        <v>22</v>
      </c>
    </row>
    <row r="4" spans="1:2" x14ac:dyDescent="0.3">
      <c r="A4" s="2" t="s">
        <v>13</v>
      </c>
      <c r="B4">
        <v>275</v>
      </c>
    </row>
    <row r="5" spans="1:2" x14ac:dyDescent="0.3">
      <c r="A5" s="2" t="s">
        <v>8</v>
      </c>
      <c r="B5">
        <v>235</v>
      </c>
    </row>
    <row r="6" spans="1:2" x14ac:dyDescent="0.3">
      <c r="A6" s="2" t="s">
        <v>10</v>
      </c>
      <c r="B6">
        <v>193</v>
      </c>
    </row>
    <row r="7" spans="1:2" x14ac:dyDescent="0.3">
      <c r="A7" s="2" t="s">
        <v>9</v>
      </c>
      <c r="B7">
        <v>221</v>
      </c>
    </row>
    <row r="8" spans="1:2" x14ac:dyDescent="0.3">
      <c r="A8" s="2" t="s">
        <v>7</v>
      </c>
      <c r="B8">
        <v>289</v>
      </c>
    </row>
    <row r="9" spans="1:2" x14ac:dyDescent="0.3">
      <c r="A9" s="2" t="s">
        <v>11</v>
      </c>
      <c r="B9">
        <v>224</v>
      </c>
    </row>
    <row r="10" spans="1:2" x14ac:dyDescent="0.3">
      <c r="A10" s="2" t="s">
        <v>12</v>
      </c>
      <c r="B10">
        <v>257</v>
      </c>
    </row>
    <row r="11" spans="1:2" x14ac:dyDescent="0.3">
      <c r="A11" s="2" t="s">
        <v>21</v>
      </c>
      <c r="B11">
        <v>1694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FD391-3C36-4F07-961C-00805F9F5DAA}">
  <dimension ref="A1:L21"/>
  <sheetViews>
    <sheetView tabSelected="1" workbookViewId="0">
      <selection activeCell="I27" sqref="I27"/>
    </sheetView>
  </sheetViews>
  <sheetFormatPr defaultRowHeight="14.4" x14ac:dyDescent="0.3"/>
  <cols>
    <col min="1" max="1" width="12.5546875" bestFit="1" customWidth="1"/>
    <col min="2" max="2" width="12.88671875" bestFit="1" customWidth="1"/>
    <col min="3" max="3" width="18.77734375" bestFit="1" customWidth="1"/>
    <col min="8" max="8" width="16.33203125" customWidth="1"/>
    <col min="9" max="9" width="18" customWidth="1"/>
    <col min="12" max="12" width="18.554687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16</v>
      </c>
      <c r="I1" s="9" t="s">
        <v>23</v>
      </c>
    </row>
    <row r="2" spans="1:12" x14ac:dyDescent="0.3">
      <c r="A2" s="9" t="s">
        <v>7</v>
      </c>
      <c r="B2" s="9" t="s">
        <v>14</v>
      </c>
      <c r="C2" s="9">
        <v>35</v>
      </c>
      <c r="D2" s="9" t="s">
        <v>19</v>
      </c>
      <c r="E2" s="7">
        <v>98</v>
      </c>
      <c r="F2" s="7">
        <v>95</v>
      </c>
      <c r="G2" s="7">
        <v>96</v>
      </c>
      <c r="H2" s="9">
        <f>SUM(E2:G2)</f>
        <v>289</v>
      </c>
      <c r="I2" s="10">
        <f>(H2/300)*100</f>
        <v>96.333333333333343</v>
      </c>
    </row>
    <row r="3" spans="1:12" x14ac:dyDescent="0.3">
      <c r="A3" s="9" t="s">
        <v>8</v>
      </c>
      <c r="B3" s="9" t="s">
        <v>15</v>
      </c>
      <c r="C3" s="9">
        <v>30</v>
      </c>
      <c r="D3" s="9" t="s">
        <v>19</v>
      </c>
      <c r="E3" s="7">
        <v>70</v>
      </c>
      <c r="F3" s="7">
        <v>80</v>
      </c>
      <c r="G3" s="7">
        <v>85</v>
      </c>
      <c r="H3" s="9">
        <f t="shared" ref="H3:H8" si="0">SUM(E3:G3)</f>
        <v>235</v>
      </c>
      <c r="I3" s="10">
        <f t="shared" ref="I3:I8" si="1">(H3/300)*100</f>
        <v>78.333333333333329</v>
      </c>
    </row>
    <row r="4" spans="1:12" x14ac:dyDescent="0.3">
      <c r="A4" s="9" t="s">
        <v>9</v>
      </c>
      <c r="B4" s="9" t="s">
        <v>15</v>
      </c>
      <c r="C4" s="9">
        <v>32</v>
      </c>
      <c r="D4" s="9" t="s">
        <v>19</v>
      </c>
      <c r="E4" s="7">
        <v>82</v>
      </c>
      <c r="F4" s="7">
        <v>65</v>
      </c>
      <c r="G4" s="7">
        <v>74</v>
      </c>
      <c r="H4" s="9">
        <f t="shared" si="0"/>
        <v>221</v>
      </c>
      <c r="I4" s="10">
        <f t="shared" si="1"/>
        <v>73.666666666666671</v>
      </c>
    </row>
    <row r="5" spans="1:12" x14ac:dyDescent="0.3">
      <c r="A5" s="9" t="s">
        <v>10</v>
      </c>
      <c r="B5" s="9" t="s">
        <v>14</v>
      </c>
      <c r="C5" s="9">
        <v>20</v>
      </c>
      <c r="D5" s="9" t="s">
        <v>18</v>
      </c>
      <c r="E5" s="7">
        <v>68</v>
      </c>
      <c r="F5" s="7">
        <v>61</v>
      </c>
      <c r="G5" s="7">
        <v>71</v>
      </c>
      <c r="H5" s="9">
        <f t="shared" si="0"/>
        <v>200</v>
      </c>
      <c r="I5" s="10">
        <f t="shared" si="1"/>
        <v>66.666666666666657</v>
      </c>
    </row>
    <row r="6" spans="1:12" x14ac:dyDescent="0.3">
      <c r="A6" s="9" t="s">
        <v>11</v>
      </c>
      <c r="B6" s="9" t="s">
        <v>14</v>
      </c>
      <c r="C6" s="9">
        <v>25</v>
      </c>
      <c r="D6" s="9" t="s">
        <v>18</v>
      </c>
      <c r="E6" s="7">
        <v>84</v>
      </c>
      <c r="F6" s="7">
        <v>67</v>
      </c>
      <c r="G6" s="7">
        <v>73</v>
      </c>
      <c r="H6" s="9">
        <f t="shared" si="0"/>
        <v>224</v>
      </c>
      <c r="I6" s="10">
        <f t="shared" si="1"/>
        <v>74.666666666666671</v>
      </c>
    </row>
    <row r="7" spans="1:12" x14ac:dyDescent="0.3">
      <c r="A7" s="9" t="s">
        <v>12</v>
      </c>
      <c r="B7" s="9" t="s">
        <v>15</v>
      </c>
      <c r="C7" s="9">
        <v>40</v>
      </c>
      <c r="D7" s="9" t="s">
        <v>17</v>
      </c>
      <c r="E7" s="7">
        <v>82</v>
      </c>
      <c r="F7" s="7">
        <v>89</v>
      </c>
      <c r="G7" s="7">
        <v>86</v>
      </c>
      <c r="H7" s="9">
        <f t="shared" si="0"/>
        <v>257</v>
      </c>
      <c r="I7" s="10">
        <f t="shared" si="1"/>
        <v>85.666666666666671</v>
      </c>
    </row>
    <row r="8" spans="1:12" x14ac:dyDescent="0.3">
      <c r="A8" s="9" t="s">
        <v>13</v>
      </c>
      <c r="B8" s="9" t="s">
        <v>15</v>
      </c>
      <c r="C8" s="9">
        <v>45</v>
      </c>
      <c r="D8" s="9" t="s">
        <v>17</v>
      </c>
      <c r="E8" s="7">
        <v>94</v>
      </c>
      <c r="F8" s="7">
        <v>91</v>
      </c>
      <c r="G8" s="7">
        <v>90</v>
      </c>
      <c r="H8" s="9">
        <f t="shared" si="0"/>
        <v>275</v>
      </c>
      <c r="I8" s="10">
        <f t="shared" si="1"/>
        <v>91.666666666666657</v>
      </c>
    </row>
    <row r="9" spans="1:12" x14ac:dyDescent="0.3">
      <c r="A9" s="8"/>
      <c r="B9" s="8"/>
      <c r="C9" s="8"/>
      <c r="D9" s="8"/>
      <c r="E9" s="8"/>
      <c r="F9" s="8"/>
      <c r="G9" s="8"/>
      <c r="H9" s="9" t="s">
        <v>24</v>
      </c>
      <c r="I9" s="3">
        <f>MAX(I2:I8)</f>
        <v>96.333333333333343</v>
      </c>
    </row>
    <row r="13" spans="1:12" x14ac:dyDescent="0.3">
      <c r="A13" s="1" t="s">
        <v>28</v>
      </c>
      <c r="B13" t="s">
        <v>22</v>
      </c>
      <c r="C13" t="s">
        <v>27</v>
      </c>
      <c r="K13" s="13" t="s">
        <v>25</v>
      </c>
      <c r="L13" s="14"/>
    </row>
    <row r="14" spans="1:12" x14ac:dyDescent="0.3">
      <c r="A14" s="2" t="s">
        <v>13</v>
      </c>
      <c r="B14" s="11">
        <v>275</v>
      </c>
      <c r="C14" s="3">
        <v>91.666666666666657</v>
      </c>
      <c r="K14" s="12" t="s">
        <v>8</v>
      </c>
      <c r="L14" s="15">
        <f>VLOOKUP(K14, A2:I8, 9, FALSE)</f>
        <v>78.333333333333329</v>
      </c>
    </row>
    <row r="15" spans="1:12" x14ac:dyDescent="0.3">
      <c r="A15" s="2" t="s">
        <v>8</v>
      </c>
      <c r="B15" s="11">
        <v>235</v>
      </c>
      <c r="C15" s="3">
        <v>78.333333333333329</v>
      </c>
      <c r="K15" s="17" t="s">
        <v>7</v>
      </c>
      <c r="L15" s="15">
        <f>VLOOKUP(K15, A2:I8, 9, FALSE)</f>
        <v>96.333333333333343</v>
      </c>
    </row>
    <row r="16" spans="1:12" x14ac:dyDescent="0.3">
      <c r="A16" s="2" t="s">
        <v>10</v>
      </c>
      <c r="B16" s="11">
        <v>200</v>
      </c>
      <c r="C16" s="3">
        <v>66.666666666666657</v>
      </c>
      <c r="K16" s="17" t="s">
        <v>9</v>
      </c>
      <c r="L16" s="15">
        <f t="shared" ref="L16:L17" si="2">VLOOKUP(K16, A3:I9, 9, FALSE)</f>
        <v>73.666666666666671</v>
      </c>
    </row>
    <row r="17" spans="1:12" x14ac:dyDescent="0.3">
      <c r="A17" s="2" t="s">
        <v>9</v>
      </c>
      <c r="B17" s="11">
        <v>221</v>
      </c>
      <c r="C17" s="3">
        <v>73.666666666666671</v>
      </c>
      <c r="K17" s="18" t="s">
        <v>10</v>
      </c>
      <c r="L17" s="16">
        <f t="shared" si="2"/>
        <v>66.666666666666657</v>
      </c>
    </row>
    <row r="18" spans="1:12" x14ac:dyDescent="0.3">
      <c r="A18" s="2" t="s">
        <v>7</v>
      </c>
      <c r="B18" s="11">
        <v>289</v>
      </c>
      <c r="C18" s="3">
        <v>96.333333333333343</v>
      </c>
    </row>
    <row r="19" spans="1:12" x14ac:dyDescent="0.3">
      <c r="A19" s="2" t="s">
        <v>11</v>
      </c>
      <c r="B19" s="11">
        <v>224</v>
      </c>
      <c r="C19" s="3">
        <v>74.666666666666671</v>
      </c>
    </row>
    <row r="20" spans="1:12" x14ac:dyDescent="0.3">
      <c r="A20" s="2" t="s">
        <v>12</v>
      </c>
      <c r="B20" s="11">
        <v>257</v>
      </c>
      <c r="C20" s="3">
        <v>85.666666666666671</v>
      </c>
    </row>
    <row r="21" spans="1:12" x14ac:dyDescent="0.3">
      <c r="A21" s="2" t="s">
        <v>21</v>
      </c>
      <c r="B21" s="11">
        <v>1701</v>
      </c>
      <c r="C21" s="3">
        <v>567</v>
      </c>
    </row>
  </sheetData>
  <mergeCells count="1">
    <mergeCell ref="K13:L13"/>
  </mergeCells>
  <conditionalFormatting sqref="I2:I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G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{7E16FF48-1C06-4033-82D1-41F485A14BA4}</x14:id>
        </ext>
      </extLst>
    </cfRule>
  </conditionalFormatting>
  <pageMargins left="0.7" right="0.7" top="0.75" bottom="0.75" header="0.3" footer="0.3"/>
  <pageSetup orientation="portrait" horizontalDpi="0" verticalDpi="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16FF48-1C06-4033-82D1-41F485A14B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E2:G8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2026-02-12T15:48:11Z</dcterms:modified>
</cp:coreProperties>
</file>